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Jan" sheetId="2" r:id="rId6"/>
    <sheet state="visible" name="Fev" sheetId="3" r:id="rId7"/>
    <sheet state="visible" name="Mar" sheetId="4" r:id="rId8"/>
    <sheet state="visible" name="Abr" sheetId="5" r:id="rId9"/>
    <sheet state="visible" name="Mai" sheetId="6" r:id="rId10"/>
    <sheet state="visible" name="Jun" sheetId="7" r:id="rId11"/>
    <sheet state="visible" name="Jul" sheetId="8" r:id="rId12"/>
    <sheet state="visible" name="Ago" sheetId="9" r:id="rId13"/>
    <sheet state="visible" name="Set" sheetId="10" r:id="rId14"/>
    <sheet state="visible" name="Out" sheetId="11" r:id="rId15"/>
    <sheet state="visible" name="Nov" sheetId="12" r:id="rId16"/>
    <sheet state="visible" name="Dez" sheetId="13" r:id="rId17"/>
    <sheet state="visible" name="📈 Anual" sheetId="14" r:id="rId18"/>
    <sheet state="visible" name="🧾 DAS" sheetId="15" r:id="rId19"/>
    <sheet state="visible" name="⚙️ Config" sheetId="16" r:id="rId20"/>
  </sheets>
  <definedNames/>
  <calcPr/>
</workbook>
</file>

<file path=xl/sharedStrings.xml><?xml version="1.0" encoding="utf-8"?>
<sst xmlns="http://schemas.openxmlformats.org/spreadsheetml/2006/main" count="188" uniqueCount="84">
  <si>
    <t>💼 CONTROLE FINANCEIRO MEI</t>
  </si>
  <si>
    <t>Os valores atualizam automaticamente conforme você lança ▶</t>
  </si>
  <si>
    <t>📈 RESUMO DO ANO</t>
  </si>
  <si>
    <t>💰 Total Receitas no Ano</t>
  </si>
  <si>
    <t>💸 Total Despesas no Ano</t>
  </si>
  <si>
    <t>✅ Lucro Total no Ano</t>
  </si>
  <si>
    <t>📏 LIMITE MEI</t>
  </si>
  <si>
    <t>📈 Faturado no Ano</t>
  </si>
  <si>
    <t>📏 Limite Configurado</t>
  </si>
  <si>
    <t>📉 Saldo Disponível</t>
  </si>
  <si>
    <t>📊 % do Limite Usado</t>
  </si>
  <si>
    <t>🔔 ALERTAS</t>
  </si>
  <si>
    <t>📅 DAS vence dia 20 do mês seguinte</t>
  </si>
  <si>
    <t>📋 COMO USAR</t>
  </si>
  <si>
    <t>1️⃣  Abra a aba do mês atual (Jan, Fev...)</t>
  </si>
  <si>
    <t>2️⃣  Selecione Receita ou Despesa no Tipo</t>
  </si>
  <si>
    <t>3️⃣  Escreva uma descrição e o valor</t>
  </si>
  <si>
    <t>4️⃣  Totais aparecem no Anual automaticamente</t>
  </si>
  <si>
    <t>5️⃣  Confira o DAS e pague até dia 20</t>
  </si>
  <si>
    <t>⚙️  Limite MEI mudou? Altere na aba ⚙️ Config</t>
  </si>
  <si>
    <t>GERAR DAS .gov</t>
  </si>
  <si>
    <t>📝 LANÇAMENTOS — JAN</t>
  </si>
  <si>
    <t>💰 RECEITAS</t>
  </si>
  <si>
    <t>💸 DESPESAS</t>
  </si>
  <si>
    <t>✅ LUCRO</t>
  </si>
  <si>
    <t>Tipo</t>
  </si>
  <si>
    <t>Descrição</t>
  </si>
  <si>
    <t>Valor (R$)</t>
  </si>
  <si>
    <t>ℹ️  Selecione Tipo → escreva Descrição → digite o Valor</t>
  </si>
  <si>
    <t>📝 LANÇAMENTOS — FEV</t>
  </si>
  <si>
    <t>📝 LANÇAMENTOS — MAR</t>
  </si>
  <si>
    <t>📝 LANÇAMENTOS — ABR</t>
  </si>
  <si>
    <t>📝 LANÇAMENTOS — MAI</t>
  </si>
  <si>
    <t>📝 LANÇAMENTOS — JUN</t>
  </si>
  <si>
    <t>📝 LANÇAMENTOS — JUL</t>
  </si>
  <si>
    <t>📝 LANÇAMENTOS — AGO</t>
  </si>
  <si>
    <t>📝 LANÇAMENTOS — SET</t>
  </si>
  <si>
    <t>📝 LANÇAMENTOS — OUT</t>
  </si>
  <si>
    <t>📝 LANÇAMENTOS — NOV</t>
  </si>
  <si>
    <t>📝 LANÇAMENTOS — DEZ</t>
  </si>
  <si>
    <t>📈 RESUMO ANUAL</t>
  </si>
  <si>
    <t>Mês</t>
  </si>
  <si>
    <t>💰 Receitas</t>
  </si>
  <si>
    <t>💸 Despesas</t>
  </si>
  <si>
    <t>✅ Lucro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</si>
  <si>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</si>
  <si>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</si>
  <si>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</si>
  <si>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</si>
  <si>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</si>
  <si>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</si>
  <si>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</si>
  <si>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</si>
  <si>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</si>
  <si>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</si>
  <si>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</si>
  <si>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</si>
  <si>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ANUAL</t>
  </si>
  <si>
    <t>🏷️ Faturado no Ano</t>
  </si>
  <si>
    <t>📏 Limite MEI</t>
  </si>
  <si>
    <t>📊 DECLARAÇÃO ANUAL — IRPF/DASN</t>
  </si>
  <si>
    <t>🏷️ Tipo de Atividade</t>
  </si>
  <si>
    <t>Serviços</t>
  </si>
  <si>
    <t xml:space="preserve">   ↳ Opções: Serviços (32%) · Comércio (8%) · Transporte (16%)</t>
  </si>
  <si>
    <t>💰 Faturamento Bruto no Ano</t>
  </si>
  <si>
    <t>✅ Parcela Isenta</t>
  </si>
  <si>
    <t>💸 Despesas Comprovadas</t>
  </si>
  <si>
    <t>⚠️ Lucro Tributável (IRPF)</t>
  </si>
  <si>
    <t xml:space="preserve">   ℹ️  Use estes valores para preencher a DASN e a Declaração de IR</t>
  </si>
  <si>
    <t>🧾 CONTROLE DO DAS MENSAL</t>
  </si>
  <si>
    <t>💰 Receita</t>
  </si>
  <si>
    <t>DAS PAGO</t>
  </si>
  <si>
    <t>Pendente</t>
  </si>
  <si>
    <t>TOTAL</t>
  </si>
  <si>
    <t>ℹ️  DAS vence todo dia 20 do mês seguinte · Marque como 'Pago' após efetuar o pagamento</t>
  </si>
  <si>
    <t>⚙️ CONFIGURAÇÕES DA PLANILHA</t>
  </si>
  <si>
    <t>🏷️ Limite Anual MEI (R$)</t>
  </si>
  <si>
    <t>⬆️  Altere o valor acima se o limite MEI mudar. Tudo atualiza automaticamente.</t>
  </si>
  <si>
    <t>📌 INFORMAÇÕES</t>
  </si>
  <si>
    <t>Vencimento DAS</t>
  </si>
  <si>
    <t>Dia 20 do mês seguinte</t>
  </si>
  <si>
    <t>Categoria</t>
  </si>
  <si>
    <t>MEI - Microempreendedor Individual</t>
  </si>
  <si>
    <t>⚠️  Não altere outras células desta aba além do Limite Anual MEI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</si>
</sst>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R$ #,##0.00"/>
    <numFmt numFmtId="165" formatCode="0.0%"/>
  </numFmts>
  <fonts count="35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Arial"/>
    </font>
    <font/>
    <font>
      <i/>
      <sz val="10.0"/>
      <color rgb="FF1A5276"/>
      <name val="Arial"/>
    </font>
    <font>
      <b/>
      <sz val="13.0"/>
      <color rgb="FFFFFFFF"/>
      <name val="Arial"/>
    </font>
    <font>
      <b/>
      <sz val="11.0"/>
      <color rgb="FF000000"/>
      <name val="Arial"/>
    </font>
    <font>
      <b/>
      <sz val="12.0"/>
      <color rgb="FF1E8449"/>
      <name val="Arial"/>
    </font>
    <font>
      <b/>
      <sz val="12.0"/>
      <color rgb="FFE74C3C"/>
      <name val="Arial"/>
    </font>
    <font>
      <b/>
      <sz val="12.0"/>
      <color rgb="FF1A6DA8"/>
      <name val="Arial"/>
    </font>
    <font>
      <b/>
      <sz val="12.0"/>
      <color rgb="FFD35400"/>
      <name val="Arial"/>
    </font>
    <font>
      <b/>
      <sz val="12.0"/>
      <color rgb="FF555555"/>
      <name val="Arial"/>
    </font>
    <font>
      <i/>
      <sz val="10.0"/>
      <color rgb="FF555555"/>
      <name val="Arial"/>
    </font>
    <font>
      <sz val="10.0"/>
      <color rgb="FF000000"/>
      <name val="Arial"/>
    </font>
    <font>
      <b/>
      <sz val="10.0"/>
      <color rgb="FF000000"/>
      <name val="Arial"/>
    </font>
    <font>
      <u/>
      <sz val="16.0"/>
      <color rgb="FFFFFFFF"/>
      <name val="Calibri"/>
    </font>
    <font>
      <b/>
      <sz val="15.0"/>
      <color rgb="FFFFFFFF"/>
      <name val="Arial"/>
    </font>
    <font>
      <b/>
      <sz val="11.0"/>
      <color rgb="FFFFFFFF"/>
      <name val="Arial"/>
    </font>
    <font>
      <i/>
      <sz val="10.0"/>
      <color rgb="FF888888"/>
      <name val="Arial"/>
    </font>
    <font>
      <sz val="11.0"/>
      <color rgb="FF1E8449"/>
      <name val="Arial"/>
    </font>
    <font>
      <sz val="11.0"/>
      <color rgb="FFE74C3C"/>
      <name val="Arial"/>
    </font>
    <font>
      <b/>
      <sz val="11.0"/>
      <color rgb="FF1A6DA8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4.0"/>
      <color rgb="FF000000"/>
      <name val="Arial"/>
    </font>
    <font>
      <i/>
      <sz val="9.0"/>
      <color rgb="FF7F8C8D"/>
      <name val="Arial"/>
    </font>
    <font>
      <b/>
      <sz val="10.0"/>
      <color rgb="FF1E8449"/>
      <name val="Arial"/>
    </font>
    <font>
      <b/>
      <sz val="10.0"/>
      <color rgb="FFE74C3C"/>
      <name val="Arial"/>
    </font>
    <font>
      <b/>
      <sz val="10.0"/>
      <color rgb="FF922B21"/>
      <name val="Arial"/>
    </font>
    <font>
      <sz val="11.0"/>
      <color rgb="FF000000"/>
      <name val="Arial"/>
    </font>
    <font>
      <i/>
      <sz val="10.0"/>
      <color rgb="FF666666"/>
      <name val="Arial"/>
    </font>
    <font>
      <u/>
      <sz val="14.0"/>
      <color rgb="FFFFFFFF"/>
      <name val="Calibri"/>
    </font>
    <font>
      <b/>
      <sz val="14.0"/>
      <color rgb="FFD35400"/>
      <name val="Arial"/>
    </font>
    <font>
      <b/>
      <sz val="9.0"/>
      <color rgb="FF000000"/>
      <name val="Arial"/>
    </font>
    <font>
      <b/>
      <i/>
      <sz val="10.0"/>
      <color rgb="FFE74C3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D5F5E3"/>
        <bgColor rgb="FFD5F5E3"/>
      </patternFill>
    </fill>
    <fill>
      <patternFill patternType="solid">
        <fgColor rgb="FF1E8449"/>
        <bgColor rgb="FF1E8449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39C12"/>
        <bgColor rgb="FFF39C12"/>
      </patternFill>
    </fill>
    <fill>
      <patternFill patternType="solid">
        <fgColor rgb="FFFEF9E7"/>
        <bgColor rgb="FFFEF9E7"/>
      </patternFill>
    </fill>
    <fill>
      <patternFill patternType="solid">
        <fgColor rgb="FFF0B27A"/>
        <bgColor rgb="FFF0B27A"/>
      </patternFill>
    </fill>
    <fill>
      <patternFill patternType="solid">
        <fgColor rgb="FF7D3C98"/>
        <bgColor rgb="FF7D3C98"/>
      </patternFill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rgb="FFF2F3F4"/>
        <bgColor rgb="FFF2F3F4"/>
      </patternFill>
    </fill>
    <fill>
      <patternFill patternType="solid">
        <fgColor rgb="FFFDFEFE"/>
        <bgColor rgb="FFFDFEFE"/>
      </patternFill>
    </fill>
  </fills>
  <borders count="11">
    <border/>
    <border>
      <left/>
      <top/>
      <bottom/>
    </border>
    <border>
      <right/>
      <top/>
      <bottom/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/>
      <bottom/>
    </border>
    <border>
      <top style="thin">
        <color rgb="FFBDBDBD"/>
      </top>
      <bottom style="thin">
        <color rgb="FFBDBDBD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3" fontId="6" numFmtId="0" xfId="0" applyAlignment="1" applyBorder="1" applyFont="1">
      <alignment horizontal="left" shrinkToFit="0" vertical="center" wrapText="1"/>
    </xf>
    <xf borderId="5" fillId="3" fontId="7" numFmtId="164" xfId="0" applyAlignment="1" applyBorder="1" applyFont="1" applyNumberFormat="1">
      <alignment horizontal="right" vertical="center"/>
    </xf>
    <xf borderId="5" fillId="5" fontId="6" numFmtId="0" xfId="0" applyAlignment="1" applyBorder="1" applyFill="1" applyFont="1">
      <alignment horizontal="left" shrinkToFit="0" vertical="center" wrapText="1"/>
    </xf>
    <xf borderId="5" fillId="5" fontId="8" numFmtId="164" xfId="0" applyAlignment="1" applyBorder="1" applyFont="1" applyNumberFormat="1">
      <alignment horizontal="right" vertical="center"/>
    </xf>
    <xf borderId="5" fillId="6" fontId="6" numFmtId="0" xfId="0" applyAlignment="1" applyBorder="1" applyFill="1" applyFont="1">
      <alignment horizontal="left" shrinkToFit="0" vertical="center" wrapText="1"/>
    </xf>
    <xf borderId="5" fillId="6" fontId="9" numFmtId="164" xfId="0" applyAlignment="1" applyBorder="1" applyFont="1" applyNumberFormat="1">
      <alignment horizontal="right" vertical="center"/>
    </xf>
    <xf borderId="3" fillId="7" fontId="5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ill="1" applyFont="1">
      <alignment horizontal="left" shrinkToFit="0" vertical="center" wrapText="1"/>
    </xf>
    <xf borderId="5" fillId="8" fontId="9" numFmtId="164" xfId="0" applyAlignment="1" applyBorder="1" applyFont="1" applyNumberFormat="1">
      <alignment horizontal="right" vertical="center"/>
    </xf>
    <xf borderId="5" fillId="9" fontId="6" numFmtId="0" xfId="0" applyAlignment="1" applyBorder="1" applyFill="1" applyFont="1">
      <alignment horizontal="left" shrinkToFit="0" vertical="center" wrapText="1"/>
    </xf>
    <xf borderId="5" fillId="9" fontId="10" numFmtId="164" xfId="0" applyAlignment="1" applyBorder="1" applyFont="1" applyNumberFormat="1">
      <alignment horizontal="right" vertical="center"/>
    </xf>
    <xf borderId="5" fillId="8" fontId="7" numFmtId="164" xfId="0" applyAlignment="1" applyBorder="1" applyFont="1" applyNumberFormat="1">
      <alignment horizontal="right" vertical="center"/>
    </xf>
    <xf borderId="5" fillId="8" fontId="11" numFmtId="165" xfId="0" applyAlignment="1" applyBorder="1" applyFont="1" applyNumberFormat="1">
      <alignment horizontal="right" vertical="center"/>
    </xf>
    <xf borderId="3" fillId="10" fontId="5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8" fontId="12" numFmtId="0" xfId="0" applyAlignment="1" applyBorder="1" applyFont="1">
      <alignment horizontal="center" shrinkToFit="0" vertical="center" wrapText="1"/>
    </xf>
    <xf borderId="3" fillId="11" fontId="5" numFmtId="0" xfId="0" applyAlignment="1" applyBorder="1" applyFill="1" applyFont="1">
      <alignment horizontal="center" shrinkToFit="0" vertical="center" wrapText="1"/>
    </xf>
    <xf borderId="3" fillId="12" fontId="13" numFmtId="0" xfId="0" applyAlignment="1" applyBorder="1" applyFill="1" applyFont="1">
      <alignment horizontal="left" shrinkToFit="0" vertical="center" wrapText="1"/>
    </xf>
    <xf borderId="3" fillId="13" fontId="13" numFmtId="0" xfId="0" applyAlignment="1" applyBorder="1" applyFill="1" applyFont="1">
      <alignment horizontal="left" shrinkToFit="0" vertical="center" wrapText="1"/>
    </xf>
    <xf borderId="3" fillId="13" fontId="14" numFmtId="0" xfId="0" applyAlignment="1" applyBorder="1" applyFont="1">
      <alignment horizontal="left" shrinkToFit="0" vertical="center" wrapText="1"/>
    </xf>
    <xf borderId="0" fillId="2" fontId="15" numFmtId="0" xfId="0" applyAlignment="1" applyFont="1">
      <alignment horizontal="center" readingOrder="0"/>
    </xf>
    <xf borderId="0" fillId="2" fontId="1" numFmtId="0" xfId="0" applyFont="1"/>
    <xf borderId="1" fillId="2" fontId="16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3" fillId="3" fontId="7" numFmtId="164" xfId="0" applyAlignment="1" applyBorder="1" applyFont="1" applyNumberFormat="1">
      <alignment horizontal="right" vertical="center"/>
    </xf>
    <xf borderId="3" fillId="5" fontId="8" numFmtId="164" xfId="0" applyAlignment="1" applyBorder="1" applyFont="1" applyNumberFormat="1">
      <alignment horizontal="right" vertical="center"/>
    </xf>
    <xf borderId="3" fillId="6" fontId="9" numFmtId="164" xfId="0" applyAlignment="1" applyBorder="1" applyFont="1" applyNumberFormat="1">
      <alignment horizontal="right" vertical="center"/>
    </xf>
    <xf borderId="5" fillId="11" fontId="17" numFmtId="0" xfId="0" applyAlignment="1" applyBorder="1" applyFont="1">
      <alignment horizontal="center" shrinkToFit="0" vertical="center" wrapText="1"/>
    </xf>
    <xf borderId="5" fillId="13" fontId="13" numFmtId="0" xfId="0" applyAlignment="1" applyBorder="1" applyFont="1">
      <alignment horizontal="center" readingOrder="0" shrinkToFit="0" vertical="center" wrapText="1"/>
    </xf>
    <xf borderId="5" fillId="13" fontId="13" numFmtId="0" xfId="0" applyAlignment="1" applyBorder="1" applyFont="1">
      <alignment horizontal="left" readingOrder="0" shrinkToFit="0" vertical="center" wrapText="1"/>
    </xf>
    <xf borderId="5" fillId="13" fontId="13" numFmtId="164" xfId="0" applyAlignment="1" applyBorder="1" applyFont="1" applyNumberFormat="1">
      <alignment horizontal="right" readingOrder="0" vertical="center"/>
    </xf>
    <xf borderId="5" fillId="12" fontId="13" numFmtId="0" xfId="0" applyAlignment="1" applyBorder="1" applyFont="1">
      <alignment horizontal="center" readingOrder="0" shrinkToFit="0" vertical="center" wrapText="1"/>
    </xf>
    <xf borderId="5" fillId="12" fontId="13" numFmtId="0" xfId="0" applyAlignment="1" applyBorder="1" applyFont="1">
      <alignment horizontal="left" readingOrder="0" shrinkToFit="0" vertical="center" wrapText="1"/>
    </xf>
    <xf borderId="5" fillId="12" fontId="13" numFmtId="164" xfId="0" applyAlignment="1" applyBorder="1" applyFont="1" applyNumberFormat="1">
      <alignment horizontal="right" readingOrder="0" vertical="center"/>
    </xf>
    <xf borderId="5" fillId="13" fontId="13" numFmtId="0" xfId="0" applyAlignment="1" applyBorder="1" applyFont="1">
      <alignment horizontal="center" shrinkToFit="0" vertical="center" wrapText="1"/>
    </xf>
    <xf borderId="5" fillId="13" fontId="13" numFmtId="0" xfId="0" applyAlignment="1" applyBorder="1" applyFont="1">
      <alignment horizontal="left" shrinkToFit="0" vertical="center" wrapText="1"/>
    </xf>
    <xf borderId="5" fillId="13" fontId="13" numFmtId="164" xfId="0" applyAlignment="1" applyBorder="1" applyFont="1" applyNumberFormat="1">
      <alignment horizontal="right" vertical="center"/>
    </xf>
    <xf borderId="5" fillId="12" fontId="13" numFmtId="0" xfId="0" applyAlignment="1" applyBorder="1" applyFont="1">
      <alignment horizontal="center" shrinkToFit="0" vertical="center" wrapText="1"/>
    </xf>
    <xf borderId="5" fillId="12" fontId="13" numFmtId="0" xfId="0" applyAlignment="1" applyBorder="1" applyFont="1">
      <alignment horizontal="left" shrinkToFit="0" vertical="center" wrapText="1"/>
    </xf>
    <xf borderId="5" fillId="12" fontId="13" numFmtId="164" xfId="0" applyAlignment="1" applyBorder="1" applyFont="1" applyNumberFormat="1">
      <alignment horizontal="right" vertical="center"/>
    </xf>
    <xf borderId="3" fillId="8" fontId="18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5" fillId="12" fontId="6" numFmtId="0" xfId="0" applyAlignment="1" applyBorder="1" applyFont="1">
      <alignment horizontal="center" shrinkToFit="0" vertical="center" wrapText="1"/>
    </xf>
    <xf borderId="5" fillId="12" fontId="19" numFmtId="164" xfId="0" applyAlignment="1" applyBorder="1" applyFont="1" applyNumberFormat="1">
      <alignment horizontal="right" vertical="center"/>
    </xf>
    <xf borderId="5" fillId="12" fontId="20" numFmtId="164" xfId="0" applyAlignment="1" applyBorder="1" applyFont="1" applyNumberFormat="1">
      <alignment horizontal="right" vertical="center"/>
    </xf>
    <xf borderId="5" fillId="12" fontId="21" numFmtId="164" xfId="0" applyAlignment="1" applyBorder="1" applyFont="1" applyNumberFormat="1">
      <alignment horizontal="right" vertical="center"/>
    </xf>
    <xf borderId="5" fillId="13" fontId="6" numFmtId="0" xfId="0" applyAlignment="1" applyBorder="1" applyFont="1">
      <alignment horizontal="center" shrinkToFit="0" vertical="center" wrapText="1"/>
    </xf>
    <xf borderId="5" fillId="13" fontId="19" numFmtId="164" xfId="0" applyAlignment="1" applyBorder="1" applyFont="1" applyNumberFormat="1">
      <alignment horizontal="right" vertical="center"/>
    </xf>
    <xf borderId="5" fillId="13" fontId="20" numFmtId="164" xfId="0" applyAlignment="1" applyBorder="1" applyFont="1" applyNumberFormat="1">
      <alignment horizontal="right" vertical="center"/>
    </xf>
    <xf borderId="5" fillId="13" fontId="21" numFmtId="164" xfId="0" applyAlignment="1" applyBorder="1" applyFont="1" applyNumberFormat="1">
      <alignment horizontal="right" vertical="center"/>
    </xf>
    <xf borderId="5" fillId="13" fontId="21" numFmtId="164" xfId="0" applyAlignment="1" applyBorder="1" applyFont="1" applyNumberFormat="1">
      <alignment horizontal="right" readingOrder="0" vertical="center"/>
    </xf>
    <xf borderId="5" fillId="2" fontId="22" numFmtId="164" xfId="0" applyAlignment="1" applyBorder="1" applyFont="1" applyNumberFormat="1">
      <alignment horizontal="center" shrinkToFit="0" vertical="center" wrapText="1"/>
    </xf>
    <xf borderId="5" fillId="2" fontId="22" numFmtId="164" xfId="0" applyAlignment="1" applyBorder="1" applyFont="1" applyNumberFormat="1">
      <alignment horizontal="right" vertical="center"/>
    </xf>
    <xf borderId="3" fillId="8" fontId="6" numFmtId="0" xfId="0" applyAlignment="1" applyBorder="1" applyFont="1">
      <alignment horizontal="left" shrinkToFit="0" vertical="center" wrapText="1"/>
    </xf>
    <xf borderId="3" fillId="8" fontId="9" numFmtId="164" xfId="0" applyAlignment="1" applyBorder="1" applyFont="1" applyNumberFormat="1">
      <alignment horizontal="right" vertical="center"/>
    </xf>
    <xf borderId="3" fillId="8" fontId="23" numFmtId="164" xfId="0" applyAlignment="1" applyBorder="1" applyFont="1" applyNumberFormat="1">
      <alignment horizontal="right" vertical="center"/>
    </xf>
    <xf borderId="3" fillId="3" fontId="6" numFmtId="0" xfId="0" applyAlignment="1" applyBorder="1" applyFont="1">
      <alignment horizontal="left" shrinkToFit="0" vertical="center" wrapText="1"/>
    </xf>
    <xf borderId="3" fillId="6" fontId="6" numFmtId="0" xfId="0" applyAlignment="1" applyBorder="1" applyFont="1">
      <alignment horizontal="left" shrinkToFit="0" vertical="center" wrapText="1"/>
    </xf>
    <xf borderId="3" fillId="6" fontId="9" numFmtId="165" xfId="0" applyAlignment="1" applyBorder="1" applyFont="1" applyNumberFormat="1">
      <alignment horizontal="right" vertical="center"/>
    </xf>
    <xf borderId="8" fillId="2" fontId="17" numFmtId="0" xfId="0" applyAlignment="1" applyBorder="1" applyFont="1">
      <alignment horizontal="left" vertical="center"/>
    </xf>
    <xf borderId="9" fillId="0" fontId="3" numFmtId="0" xfId="0" applyBorder="1" applyFont="1"/>
    <xf borderId="10" fillId="0" fontId="3" numFmtId="0" xfId="0" applyBorder="1" applyFont="1"/>
    <xf borderId="8" fillId="8" fontId="14" numFmtId="0" xfId="0" applyAlignment="1" applyBorder="1" applyFont="1">
      <alignment horizontal="left" vertical="center"/>
    </xf>
    <xf borderId="8" fillId="8" fontId="24" numFmtId="0" xfId="0" applyAlignment="1" applyBorder="1" applyFont="1">
      <alignment horizontal="center" readingOrder="0" vertical="center"/>
    </xf>
    <xf borderId="0" fillId="0" fontId="25" numFmtId="0" xfId="0" applyFont="1"/>
    <xf borderId="8" fillId="14" fontId="14" numFmtId="0" xfId="0" applyAlignment="1" applyBorder="1" applyFill="1" applyFont="1">
      <alignment horizontal="left" vertical="center"/>
    </xf>
    <xf borderId="8" fillId="14" fontId="26" numFmtId="164" xfId="0" applyAlignment="1" applyBorder="1" applyFont="1" applyNumberFormat="1">
      <alignment horizontal="right" vertical="center"/>
    </xf>
    <xf borderId="8" fillId="3" fontId="14" numFmtId="0" xfId="0" applyAlignment="1" applyBorder="1" applyFont="1">
      <alignment horizontal="left" vertical="center"/>
    </xf>
    <xf borderId="8" fillId="3" fontId="26" numFmtId="164" xfId="0" applyAlignment="1" applyBorder="1" applyFont="1" applyNumberFormat="1">
      <alignment horizontal="right" vertical="center"/>
    </xf>
    <xf borderId="8" fillId="14" fontId="27" numFmtId="164" xfId="0" applyAlignment="1" applyBorder="1" applyFont="1" applyNumberFormat="1">
      <alignment horizontal="right" vertical="center"/>
    </xf>
    <xf borderId="8" fillId="5" fontId="28" numFmtId="0" xfId="0" applyAlignment="1" applyBorder="1" applyFont="1">
      <alignment horizontal="left" vertical="center"/>
    </xf>
    <xf borderId="8" fillId="5" fontId="28" numFmtId="164" xfId="0" applyAlignment="1" applyBorder="1" applyFont="1" applyNumberFormat="1">
      <alignment horizontal="right" vertical="center"/>
    </xf>
    <xf borderId="1" fillId="11" fontId="16" numFmtId="0" xfId="0" applyAlignment="1" applyBorder="1" applyFont="1">
      <alignment horizontal="center" shrinkToFit="0" vertical="center" wrapText="1"/>
    </xf>
    <xf borderId="5" fillId="12" fontId="29" numFmtId="164" xfId="0" applyAlignment="1" applyBorder="1" applyFont="1" applyNumberFormat="1">
      <alignment horizontal="right" vertical="center"/>
    </xf>
    <xf borderId="5" fillId="13" fontId="29" numFmtId="164" xfId="0" applyAlignment="1" applyBorder="1" applyFont="1" applyNumberFormat="1">
      <alignment horizontal="right" vertical="center"/>
    </xf>
    <xf borderId="5" fillId="11" fontId="22" numFmtId="164" xfId="0" applyAlignment="1" applyBorder="1" applyFont="1" applyNumberFormat="1">
      <alignment horizontal="center" shrinkToFit="0" vertical="center" wrapText="1"/>
    </xf>
    <xf borderId="5" fillId="11" fontId="22" numFmtId="164" xfId="0" applyAlignment="1" applyBorder="1" applyFont="1" applyNumberFormat="1">
      <alignment horizontal="right" vertical="center"/>
    </xf>
    <xf borderId="3" fillId="8" fontId="30" numFmtId="0" xfId="0" applyAlignment="1" applyBorder="1" applyFont="1">
      <alignment horizontal="center" shrinkToFit="0" vertical="center" wrapText="1"/>
    </xf>
    <xf borderId="0" fillId="2" fontId="31" numFmtId="0" xfId="0" applyAlignment="1" applyFont="1">
      <alignment horizontal="center" readingOrder="0" vertical="center"/>
    </xf>
    <xf borderId="5" fillId="8" fontId="23" numFmtId="0" xfId="0" applyAlignment="1" applyBorder="1" applyFont="1">
      <alignment horizontal="left" shrinkToFit="0" vertical="center" wrapText="1"/>
    </xf>
    <xf borderId="5" fillId="9" fontId="32" numFmtId="164" xfId="0" applyAlignment="1" applyBorder="1" applyFont="1" applyNumberFormat="1">
      <alignment horizontal="right" readingOrder="0" vertical="center"/>
    </xf>
    <xf borderId="3" fillId="2" fontId="22" numFmtId="0" xfId="0" applyAlignment="1" applyBorder="1" applyFont="1">
      <alignment horizontal="center" shrinkToFit="0" vertical="center" wrapText="1"/>
    </xf>
    <xf borderId="5" fillId="13" fontId="29" numFmtId="0" xfId="0" applyAlignment="1" applyBorder="1" applyFont="1">
      <alignment horizontal="left" shrinkToFit="0" vertical="center" wrapText="1"/>
    </xf>
    <xf borderId="5" fillId="13" fontId="33" numFmtId="0" xfId="0" applyAlignment="1" applyBorder="1" applyFont="1">
      <alignment horizontal="right" vertical="center"/>
    </xf>
    <xf borderId="5" fillId="12" fontId="29" numFmtId="0" xfId="0" applyAlignment="1" applyBorder="1" applyFont="1">
      <alignment horizontal="left" shrinkToFit="0" vertical="center" wrapText="1"/>
    </xf>
    <xf borderId="5" fillId="12" fontId="33" numFmtId="0" xfId="0" applyAlignment="1" applyBorder="1" applyFont="1">
      <alignment horizontal="right" vertical="center"/>
    </xf>
    <xf borderId="3" fillId="5" fontId="3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8.receita.fazenda.gov.br/SimplesNacional/Aplicacoes/ATSPO/pgmei.app/Identificaca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8.receita.fazenda.gov.br/SimplesNacional/Aplicacoes/ATSPO/pgmei.app/Identificacao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24.0"/>
    <col customWidth="1" min="4" max="4" width="2.0"/>
    <col customWidth="1" min="5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75" customHeight="1">
      <c r="A2" s="1"/>
      <c r="B2" s="2" t="s">
        <v>0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1"/>
      <c r="B3" s="4" t="s">
        <v>1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6.0" customHeight="1">
      <c r="A5" s="1"/>
      <c r="B5" s="5" t="s">
        <v>2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7" t="s">
        <v>3</v>
      </c>
      <c r="C6" s="8">
        <f>'📈 Anual'!C17</f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5" customHeight="1">
      <c r="A7" s="1"/>
      <c r="B7" s="9" t="s">
        <v>4</v>
      </c>
      <c r="C7" s="10">
        <f>'📈 Anual'!D17</f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1.5" customHeight="1">
      <c r="A8" s="1"/>
      <c r="B8" s="11" t="s">
        <v>5</v>
      </c>
      <c r="C8" s="12">
        <f>'📈 Anual'!E17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6.0" customHeight="1">
      <c r="A10" s="1"/>
      <c r="B10" s="13" t="s">
        <v>6</v>
      </c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1.5" customHeight="1">
      <c r="A11" s="1"/>
      <c r="B11" s="14" t="s">
        <v>7</v>
      </c>
      <c r="C11" s="15">
        <f>'📈 Anual'!C17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1.5" customHeight="1">
      <c r="A12" s="1"/>
      <c r="B12" s="16" t="s">
        <v>8</v>
      </c>
      <c r="C12" s="17">
        <f>'⚙️ Config'!$C$4</f>
        <v>81000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5" customHeight="1">
      <c r="A13" s="1"/>
      <c r="B13" s="14" t="s">
        <v>9</v>
      </c>
      <c r="C13" s="18">
        <f>'⚙️ Config'!$C$4-'📈 Anual'!C17</f>
        <v>81000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5" customHeight="1">
      <c r="A14" s="1"/>
      <c r="B14" s="14" t="s">
        <v>10</v>
      </c>
      <c r="C14" s="19">
        <f>'📈 Anual'!C17/'⚙️ Config'!$C$4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6.0" customHeight="1">
      <c r="A16" s="1"/>
      <c r="B16" s="20" t="s">
        <v>11</v>
      </c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1.5" customHeight="1">
      <c r="A17" s="1"/>
      <c r="B17" s="21" t="str">
        <f>IF('📈 Anual'!C17&gt;'⚙️ Config'!$C$4*0.9,"🚨 ATENÇÃO: Acima de 90% do limite MEI!","✅ Faturamento dentro do limite")</f>
        <v>✅ Faturamento dentro do limite</v>
      </c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22" t="s">
        <v>12</v>
      </c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6.0" customHeight="1">
      <c r="A20" s="1"/>
      <c r="B20" s="23" t="s">
        <v>13</v>
      </c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24" t="s">
        <v>14</v>
      </c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25" t="s">
        <v>15</v>
      </c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24" t="s">
        <v>16</v>
      </c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25" t="s">
        <v>17</v>
      </c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24" t="s">
        <v>18</v>
      </c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26" t="s">
        <v>19</v>
      </c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3.25" customHeight="1">
      <c r="A27" s="1"/>
      <c r="B27" s="27" t="s">
        <v>20</v>
      </c>
      <c r="C27" s="2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20:C20"/>
    <mergeCell ref="B21:C21"/>
    <mergeCell ref="B22:C22"/>
    <mergeCell ref="B23:C23"/>
    <mergeCell ref="B24:C24"/>
    <mergeCell ref="B25:C25"/>
    <mergeCell ref="B26:C26"/>
    <mergeCell ref="B2:C2"/>
    <mergeCell ref="B3:C3"/>
    <mergeCell ref="B5:C5"/>
    <mergeCell ref="B10:C10"/>
    <mergeCell ref="B16:C16"/>
    <mergeCell ref="B17:C17"/>
    <mergeCell ref="B18:C18"/>
  </mergeCells>
  <hyperlinks>
    <hyperlink r:id="rId1" ref="B27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21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35"/>
      <c r="C8" s="36"/>
      <c r="D8" s="3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38"/>
      <c r="C9" s="39"/>
      <c r="D9" s="4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35"/>
      <c r="C10" s="36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38"/>
      <c r="C11" s="39"/>
      <c r="D11" s="4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35"/>
      <c r="C12" s="36"/>
      <c r="D12" s="3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38"/>
      <c r="C13" s="39"/>
      <c r="D13" s="4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29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30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31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35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38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32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33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34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35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36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37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38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41"/>
      <c r="C8" s="42"/>
      <c r="D8" s="4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44"/>
      <c r="C9" s="45"/>
      <c r="D9" s="4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32.0"/>
    <col customWidth="1" min="4" max="4" width="22.0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39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7" t="s">
        <v>22</v>
      </c>
      <c r="C3" s="31">
        <f>SUMIF(B8:B207,"Receita",D8:D207)</f>
        <v>0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9" t="s">
        <v>23</v>
      </c>
      <c r="C4" s="32">
        <f>SUMIF(B8:B207,"Despesa",D8:D207)</f>
        <v>0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1" t="s">
        <v>24</v>
      </c>
      <c r="C5" s="33">
        <f>C3-C4</f>
        <v>0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4" t="s">
        <v>25</v>
      </c>
      <c r="C7" s="34" t="s">
        <v>26</v>
      </c>
      <c r="D7" s="34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35"/>
      <c r="C8" s="42"/>
      <c r="D8" s="3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38"/>
      <c r="C9" s="45"/>
      <c r="D9" s="4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41"/>
      <c r="C10" s="42"/>
      <c r="D10" s="4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44"/>
      <c r="C11" s="45"/>
      <c r="D11" s="4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41"/>
      <c r="C12" s="42"/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44"/>
      <c r="C13" s="45"/>
      <c r="D13" s="4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41"/>
      <c r="C14" s="42"/>
      <c r="D14" s="4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44"/>
      <c r="C15" s="45"/>
      <c r="D15" s="4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41"/>
      <c r="C16" s="42"/>
      <c r="D16" s="4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44"/>
      <c r="C17" s="45"/>
      <c r="D17" s="4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41"/>
      <c r="C18" s="42"/>
      <c r="D18" s="4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44"/>
      <c r="C19" s="45"/>
      <c r="D19" s="4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41"/>
      <c r="C20" s="42"/>
      <c r="D20" s="4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44"/>
      <c r="C21" s="45"/>
      <c r="D21" s="4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4"/>
      <c r="C23" s="45"/>
      <c r="D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1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4"/>
      <c r="C25" s="45"/>
      <c r="D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1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4"/>
      <c r="C27" s="45"/>
      <c r="D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1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4"/>
      <c r="C29" s="45"/>
      <c r="D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1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44"/>
      <c r="C31" s="45"/>
      <c r="D31" s="4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5.5" customHeight="1">
      <c r="A32" s="1"/>
      <c r="B32" s="41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5.5" customHeight="1">
      <c r="A33" s="1"/>
      <c r="B33" s="44"/>
      <c r="C33" s="45"/>
      <c r="D33" s="4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41"/>
      <c r="C34" s="42"/>
      <c r="D34" s="4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44"/>
      <c r="C35" s="45"/>
      <c r="D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41"/>
      <c r="C36" s="42"/>
      <c r="D36" s="4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44"/>
      <c r="C37" s="45"/>
      <c r="D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41"/>
      <c r="C38" s="42"/>
      <c r="D38" s="4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5.5" customHeight="1">
      <c r="A39" s="1"/>
      <c r="B39" s="44"/>
      <c r="C39" s="45"/>
      <c r="D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5.5" customHeight="1">
      <c r="A40" s="1"/>
      <c r="B40" s="41"/>
      <c r="C40" s="42"/>
      <c r="D40" s="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5.5" customHeight="1">
      <c r="A41" s="1"/>
      <c r="B41" s="44"/>
      <c r="C41" s="45"/>
      <c r="D41" s="4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5.5" customHeight="1">
      <c r="A42" s="1"/>
      <c r="B42" s="41"/>
      <c r="C42" s="42"/>
      <c r="D42" s="4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5.5" customHeight="1">
      <c r="A43" s="1"/>
      <c r="B43" s="44"/>
      <c r="C43" s="45"/>
      <c r="D43" s="4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5.5" customHeight="1">
      <c r="A44" s="1"/>
      <c r="B44" s="41"/>
      <c r="C44" s="42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5.5" customHeight="1">
      <c r="A45" s="1"/>
      <c r="B45" s="44"/>
      <c r="C45" s="45"/>
      <c r="D45" s="4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41"/>
      <c r="C46" s="42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5.5" customHeight="1">
      <c r="A47" s="1"/>
      <c r="B47" s="44"/>
      <c r="C47" s="45"/>
      <c r="D47" s="4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5.5" customHeight="1">
      <c r="A48" s="1"/>
      <c r="B48" s="41"/>
      <c r="C48" s="42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5.5" customHeight="1">
      <c r="A49" s="1"/>
      <c r="B49" s="44"/>
      <c r="C49" s="45"/>
      <c r="D49" s="4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5.5" customHeight="1">
      <c r="A50" s="1"/>
      <c r="B50" s="41"/>
      <c r="C50" s="42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5.5" customHeight="1">
      <c r="A51" s="1"/>
      <c r="B51" s="44"/>
      <c r="C51" s="45"/>
      <c r="D51" s="4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5.5" customHeight="1">
      <c r="A52" s="1"/>
      <c r="B52" s="41"/>
      <c r="C52" s="42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5.5" customHeight="1">
      <c r="A53" s="1"/>
      <c r="B53" s="44"/>
      <c r="C53" s="45"/>
      <c r="D53" s="4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5.5" customHeight="1">
      <c r="A54" s="1"/>
      <c r="B54" s="41"/>
      <c r="C54" s="42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5.5" customHeight="1">
      <c r="A55" s="1"/>
      <c r="B55" s="44"/>
      <c r="C55" s="45"/>
      <c r="D55" s="4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5.5" customHeight="1">
      <c r="A56" s="1"/>
      <c r="B56" s="41"/>
      <c r="C56" s="42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5.5" customHeight="1">
      <c r="A57" s="1"/>
      <c r="B57" s="44"/>
      <c r="C57" s="45"/>
      <c r="D57" s="4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5.5" customHeight="1">
      <c r="A58" s="1"/>
      <c r="B58" s="41"/>
      <c r="C58" s="42"/>
      <c r="D58" s="4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5.5" customHeight="1">
      <c r="A59" s="1"/>
      <c r="B59" s="44"/>
      <c r="C59" s="45"/>
      <c r="D59" s="4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5.5" customHeight="1">
      <c r="A60" s="1"/>
      <c r="B60" s="41"/>
      <c r="C60" s="42"/>
      <c r="D60" s="4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5.5" customHeight="1">
      <c r="A61" s="1"/>
      <c r="B61" s="44"/>
      <c r="C61" s="45"/>
      <c r="D61" s="4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5.5" customHeight="1">
      <c r="A62" s="1"/>
      <c r="B62" s="41"/>
      <c r="C62" s="42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5.5" customHeight="1">
      <c r="A63" s="1"/>
      <c r="B63" s="44"/>
      <c r="C63" s="45"/>
      <c r="D63" s="4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5.5" customHeight="1">
      <c r="A64" s="1"/>
      <c r="B64" s="41"/>
      <c r="C64" s="42"/>
      <c r="D64" s="4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5.5" customHeight="1">
      <c r="A65" s="1"/>
      <c r="B65" s="44"/>
      <c r="C65" s="45"/>
      <c r="D65" s="4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5.5" customHeight="1">
      <c r="A66" s="1"/>
      <c r="B66" s="41"/>
      <c r="C66" s="42"/>
      <c r="D66" s="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5.5" customHeight="1">
      <c r="A67" s="1"/>
      <c r="B67" s="44"/>
      <c r="C67" s="45"/>
      <c r="D67" s="4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5.5" customHeight="1">
      <c r="A68" s="1"/>
      <c r="B68" s="41"/>
      <c r="C68" s="42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5.5" customHeight="1">
      <c r="A69" s="1"/>
      <c r="B69" s="44"/>
      <c r="C69" s="45"/>
      <c r="D69" s="4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41"/>
      <c r="C70" s="42"/>
      <c r="D70" s="4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5.5" customHeight="1">
      <c r="A71" s="1"/>
      <c r="B71" s="44"/>
      <c r="C71" s="45"/>
      <c r="D71" s="4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5.5" customHeight="1">
      <c r="A72" s="1"/>
      <c r="B72" s="41"/>
      <c r="C72" s="42"/>
      <c r="D72" s="4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5.5" customHeight="1">
      <c r="A73" s="1"/>
      <c r="B73" s="44"/>
      <c r="C73" s="45"/>
      <c r="D73" s="4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5.5" customHeight="1">
      <c r="A74" s="1"/>
      <c r="B74" s="41"/>
      <c r="C74" s="42"/>
      <c r="D74" s="4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5.5" customHeight="1">
      <c r="A75" s="1"/>
      <c r="B75" s="44"/>
      <c r="C75" s="45"/>
      <c r="D75" s="4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5.5" customHeight="1">
      <c r="A76" s="1"/>
      <c r="B76" s="41"/>
      <c r="C76" s="42"/>
      <c r="D76" s="4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5.5" customHeight="1">
      <c r="A77" s="1"/>
      <c r="B77" s="44"/>
      <c r="C77" s="45"/>
      <c r="D77" s="4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5.5" customHeight="1">
      <c r="A78" s="1"/>
      <c r="B78" s="41"/>
      <c r="C78" s="42"/>
      <c r="D78" s="4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5.5" customHeight="1">
      <c r="A79" s="1"/>
      <c r="B79" s="44"/>
      <c r="C79" s="45"/>
      <c r="D79" s="4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5.5" customHeight="1">
      <c r="A80" s="1"/>
      <c r="B80" s="41"/>
      <c r="C80" s="42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5.5" customHeight="1">
      <c r="A81" s="1"/>
      <c r="B81" s="44"/>
      <c r="C81" s="45"/>
      <c r="D81" s="4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5.5" customHeight="1">
      <c r="A82" s="1"/>
      <c r="B82" s="41"/>
      <c r="C82" s="42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5.5" customHeight="1">
      <c r="A83" s="1"/>
      <c r="B83" s="44"/>
      <c r="C83" s="45"/>
      <c r="D83" s="4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5.5" customHeight="1">
      <c r="A84" s="1"/>
      <c r="B84" s="41"/>
      <c r="C84" s="42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44"/>
      <c r="C85" s="45"/>
      <c r="D85" s="4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5.5" customHeight="1">
      <c r="A86" s="1"/>
      <c r="B86" s="41"/>
      <c r="C86" s="42"/>
      <c r="D86" s="4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5.5" customHeight="1">
      <c r="A87" s="1"/>
      <c r="B87" s="44"/>
      <c r="C87" s="45"/>
      <c r="D87" s="4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41"/>
      <c r="C88" s="42"/>
      <c r="D88" s="4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5.5" customHeight="1">
      <c r="A89" s="1"/>
      <c r="B89" s="44"/>
      <c r="C89" s="45"/>
      <c r="D89" s="4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5.5" customHeight="1">
      <c r="A90" s="1"/>
      <c r="B90" s="41"/>
      <c r="C90" s="42"/>
      <c r="D90" s="4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5.5" customHeight="1">
      <c r="A91" s="1"/>
      <c r="B91" s="44"/>
      <c r="C91" s="45"/>
      <c r="D91" s="4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5.5" customHeight="1">
      <c r="A92" s="1"/>
      <c r="B92" s="41"/>
      <c r="C92" s="42"/>
      <c r="D92" s="4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5.5" customHeight="1">
      <c r="A93" s="1"/>
      <c r="B93" s="44"/>
      <c r="C93" s="45"/>
      <c r="D93" s="4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5.5" customHeight="1">
      <c r="A94" s="1"/>
      <c r="B94" s="41"/>
      <c r="C94" s="42"/>
      <c r="D94" s="4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1"/>
      <c r="B95" s="44"/>
      <c r="C95" s="45"/>
      <c r="D95" s="4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5.5" customHeight="1">
      <c r="A96" s="1"/>
      <c r="B96" s="41"/>
      <c r="C96" s="42"/>
      <c r="D96" s="4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5.5" customHeight="1">
      <c r="A97" s="1"/>
      <c r="B97" s="44"/>
      <c r="C97" s="45"/>
      <c r="D97" s="4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5.5" customHeight="1">
      <c r="A98" s="1"/>
      <c r="B98" s="41"/>
      <c r="C98" s="42"/>
      <c r="D98" s="4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5.5" customHeight="1">
      <c r="A99" s="1"/>
      <c r="B99" s="44"/>
      <c r="C99" s="45"/>
      <c r="D99" s="4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.5" customHeight="1">
      <c r="A100" s="1"/>
      <c r="B100" s="41"/>
      <c r="C100" s="42"/>
      <c r="D100" s="4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44"/>
      <c r="C101" s="45"/>
      <c r="D101" s="4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5.5" customHeight="1">
      <c r="A102" s="1"/>
      <c r="B102" s="41"/>
      <c r="C102" s="42"/>
      <c r="D102" s="4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5.5" customHeight="1">
      <c r="A103" s="1"/>
      <c r="B103" s="44"/>
      <c r="C103" s="45"/>
      <c r="D103" s="4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5.5" customHeight="1">
      <c r="A104" s="1"/>
      <c r="B104" s="41"/>
      <c r="C104" s="42"/>
      <c r="D104" s="4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5.5" customHeight="1">
      <c r="A105" s="1"/>
      <c r="B105" s="44"/>
      <c r="C105" s="45"/>
      <c r="D105" s="4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5.5" customHeight="1">
      <c r="A106" s="1"/>
      <c r="B106" s="41"/>
      <c r="C106" s="42"/>
      <c r="D106" s="4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.5" customHeight="1">
      <c r="A107" s="1"/>
      <c r="B107" s="44"/>
      <c r="C107" s="45"/>
      <c r="D107" s="4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5.5" customHeight="1">
      <c r="A108" s="1"/>
      <c r="B108" s="41"/>
      <c r="C108" s="42"/>
      <c r="D108" s="4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5.5" customHeight="1">
      <c r="A109" s="1"/>
      <c r="B109" s="44"/>
      <c r="C109" s="45"/>
      <c r="D109" s="4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5.5" customHeight="1">
      <c r="A110" s="1"/>
      <c r="B110" s="41"/>
      <c r="C110" s="42"/>
      <c r="D110" s="4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5.5" customHeight="1">
      <c r="A111" s="1"/>
      <c r="B111" s="44"/>
      <c r="C111" s="45"/>
      <c r="D111" s="4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5.5" customHeight="1">
      <c r="A112" s="1"/>
      <c r="B112" s="41"/>
      <c r="C112" s="42"/>
      <c r="D112" s="4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44"/>
      <c r="C113" s="45"/>
      <c r="D113" s="4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5.5" customHeight="1">
      <c r="A114" s="1"/>
      <c r="B114" s="41"/>
      <c r="C114" s="42"/>
      <c r="D114" s="4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5.5" customHeight="1">
      <c r="A115" s="1"/>
      <c r="B115" s="44"/>
      <c r="C115" s="45"/>
      <c r="D115" s="4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5.5" customHeight="1">
      <c r="A116" s="1"/>
      <c r="B116" s="41"/>
      <c r="C116" s="42"/>
      <c r="D116" s="4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5.5" customHeight="1">
      <c r="A117" s="1"/>
      <c r="B117" s="44"/>
      <c r="C117" s="45"/>
      <c r="D117" s="4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5.5" customHeight="1">
      <c r="A118" s="1"/>
      <c r="B118" s="41"/>
      <c r="C118" s="42"/>
      <c r="D118" s="4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5.5" customHeight="1">
      <c r="A119" s="1"/>
      <c r="B119" s="44"/>
      <c r="C119" s="45"/>
      <c r="D119" s="4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5.5" customHeight="1">
      <c r="A120" s="1"/>
      <c r="B120" s="41"/>
      <c r="C120" s="42"/>
      <c r="D120" s="4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5.5" customHeight="1">
      <c r="A121" s="1"/>
      <c r="B121" s="44"/>
      <c r="C121" s="45"/>
      <c r="D121" s="4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5.5" customHeight="1">
      <c r="A122" s="1"/>
      <c r="B122" s="41"/>
      <c r="C122" s="42"/>
      <c r="D122" s="4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5.5" customHeight="1">
      <c r="A123" s="1"/>
      <c r="B123" s="44"/>
      <c r="C123" s="45"/>
      <c r="D123" s="4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5.5" customHeight="1">
      <c r="A124" s="1"/>
      <c r="B124" s="41"/>
      <c r="C124" s="42"/>
      <c r="D124" s="4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5.5" customHeight="1">
      <c r="A125" s="1"/>
      <c r="B125" s="44"/>
      <c r="C125" s="45"/>
      <c r="D125" s="4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5.5" customHeight="1">
      <c r="A126" s="1"/>
      <c r="B126" s="41"/>
      <c r="C126" s="42"/>
      <c r="D126" s="4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5.5" customHeight="1">
      <c r="A127" s="1"/>
      <c r="B127" s="44"/>
      <c r="C127" s="45"/>
      <c r="D127" s="4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5.5" customHeight="1">
      <c r="A128" s="1"/>
      <c r="B128" s="41"/>
      <c r="C128" s="42"/>
      <c r="D128" s="4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5.5" customHeight="1">
      <c r="A129" s="1"/>
      <c r="B129" s="44"/>
      <c r="C129" s="45"/>
      <c r="D129" s="4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5.5" customHeight="1">
      <c r="A130" s="1"/>
      <c r="B130" s="41"/>
      <c r="C130" s="42"/>
      <c r="D130" s="4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5.5" customHeight="1">
      <c r="A131" s="1"/>
      <c r="B131" s="44"/>
      <c r="C131" s="45"/>
      <c r="D131" s="4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5.5" customHeight="1">
      <c r="A132" s="1"/>
      <c r="B132" s="41"/>
      <c r="C132" s="42"/>
      <c r="D132" s="4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5.5" customHeight="1">
      <c r="A133" s="1"/>
      <c r="B133" s="44"/>
      <c r="C133" s="45"/>
      <c r="D133" s="4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5.5" customHeight="1">
      <c r="A134" s="1"/>
      <c r="B134" s="41"/>
      <c r="C134" s="42"/>
      <c r="D134" s="4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5.5" customHeight="1">
      <c r="A135" s="1"/>
      <c r="B135" s="44"/>
      <c r="C135" s="45"/>
      <c r="D135" s="4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5.5" customHeight="1">
      <c r="A136" s="1"/>
      <c r="B136" s="41"/>
      <c r="C136" s="42"/>
      <c r="D136" s="4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5.5" customHeight="1">
      <c r="A137" s="1"/>
      <c r="B137" s="44"/>
      <c r="C137" s="45"/>
      <c r="D137" s="4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5.5" customHeight="1">
      <c r="A138" s="1"/>
      <c r="B138" s="41"/>
      <c r="C138" s="42"/>
      <c r="D138" s="4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5.5" customHeight="1">
      <c r="A139" s="1"/>
      <c r="B139" s="44"/>
      <c r="C139" s="45"/>
      <c r="D139" s="4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5.5" customHeight="1">
      <c r="A140" s="1"/>
      <c r="B140" s="41"/>
      <c r="C140" s="42"/>
      <c r="D140" s="4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5.5" customHeight="1">
      <c r="A141" s="1"/>
      <c r="B141" s="44"/>
      <c r="C141" s="45"/>
      <c r="D141" s="4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5.5" customHeight="1">
      <c r="A142" s="1"/>
      <c r="B142" s="41"/>
      <c r="C142" s="42"/>
      <c r="D142" s="4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5.5" customHeight="1">
      <c r="A143" s="1"/>
      <c r="B143" s="44"/>
      <c r="C143" s="45"/>
      <c r="D143" s="4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5.5" customHeight="1">
      <c r="A144" s="1"/>
      <c r="B144" s="41"/>
      <c r="C144" s="42"/>
      <c r="D144" s="4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5.5" customHeight="1">
      <c r="A145" s="1"/>
      <c r="B145" s="44"/>
      <c r="C145" s="45"/>
      <c r="D145" s="4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5.5" customHeight="1">
      <c r="A146" s="1"/>
      <c r="B146" s="41"/>
      <c r="C146" s="42"/>
      <c r="D146" s="4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5.5" customHeight="1">
      <c r="A147" s="1"/>
      <c r="B147" s="44"/>
      <c r="C147" s="45"/>
      <c r="D147" s="4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5.5" customHeight="1">
      <c r="A148" s="1"/>
      <c r="B148" s="41"/>
      <c r="C148" s="42"/>
      <c r="D148" s="4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5.5" customHeight="1">
      <c r="A149" s="1"/>
      <c r="B149" s="44"/>
      <c r="C149" s="45"/>
      <c r="D149" s="4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5.5" customHeight="1">
      <c r="A150" s="1"/>
      <c r="B150" s="41"/>
      <c r="C150" s="42"/>
      <c r="D150" s="4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5.5" customHeight="1">
      <c r="A151" s="1"/>
      <c r="B151" s="44"/>
      <c r="C151" s="45"/>
      <c r="D151" s="4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5.5" customHeight="1">
      <c r="A152" s="1"/>
      <c r="B152" s="41"/>
      <c r="C152" s="42"/>
      <c r="D152" s="4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5.5" customHeight="1">
      <c r="A153" s="1"/>
      <c r="B153" s="44"/>
      <c r="C153" s="45"/>
      <c r="D153" s="4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5.5" customHeight="1">
      <c r="A154" s="1"/>
      <c r="B154" s="41"/>
      <c r="C154" s="42"/>
      <c r="D154" s="4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5.5" customHeight="1">
      <c r="A155" s="1"/>
      <c r="B155" s="44"/>
      <c r="C155" s="45"/>
      <c r="D155" s="4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5.5" customHeight="1">
      <c r="A156" s="1"/>
      <c r="B156" s="41"/>
      <c r="C156" s="42"/>
      <c r="D156" s="4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5.5" customHeight="1">
      <c r="A157" s="1"/>
      <c r="B157" s="44"/>
      <c r="C157" s="45"/>
      <c r="D157" s="4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5.5" customHeight="1">
      <c r="A158" s="1"/>
      <c r="B158" s="41"/>
      <c r="C158" s="42"/>
      <c r="D158" s="4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5.5" customHeight="1">
      <c r="A159" s="1"/>
      <c r="B159" s="44"/>
      <c r="C159" s="45"/>
      <c r="D159" s="4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5.5" customHeight="1">
      <c r="A160" s="1"/>
      <c r="B160" s="41"/>
      <c r="C160" s="42"/>
      <c r="D160" s="4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5.5" customHeight="1">
      <c r="A161" s="1"/>
      <c r="B161" s="44"/>
      <c r="C161" s="45"/>
      <c r="D161" s="4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5.5" customHeight="1">
      <c r="A162" s="1"/>
      <c r="B162" s="41"/>
      <c r="C162" s="42"/>
      <c r="D162" s="4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44"/>
      <c r="C163" s="45"/>
      <c r="D163" s="4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5.5" customHeight="1">
      <c r="A164" s="1"/>
      <c r="B164" s="41"/>
      <c r="C164" s="42"/>
      <c r="D164" s="4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5.5" customHeight="1">
      <c r="A165" s="1"/>
      <c r="B165" s="44"/>
      <c r="C165" s="45"/>
      <c r="D165" s="4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5.5" customHeight="1">
      <c r="A166" s="1"/>
      <c r="B166" s="41"/>
      <c r="C166" s="42"/>
      <c r="D166" s="4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5.5" customHeight="1">
      <c r="A167" s="1"/>
      <c r="B167" s="44"/>
      <c r="C167" s="45"/>
      <c r="D167" s="4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5.5" customHeight="1">
      <c r="A168" s="1"/>
      <c r="B168" s="41"/>
      <c r="C168" s="42"/>
      <c r="D168" s="4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5.5" customHeight="1">
      <c r="A169" s="1"/>
      <c r="B169" s="44"/>
      <c r="C169" s="45"/>
      <c r="D169" s="4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.5" customHeight="1">
      <c r="A170" s="1"/>
      <c r="B170" s="41"/>
      <c r="C170" s="42"/>
      <c r="D170" s="4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5.5" customHeight="1">
      <c r="A171" s="1"/>
      <c r="B171" s="44"/>
      <c r="C171" s="45"/>
      <c r="D171" s="4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5.5" customHeight="1">
      <c r="A172" s="1"/>
      <c r="B172" s="41"/>
      <c r="C172" s="42"/>
      <c r="D172" s="4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5.5" customHeight="1">
      <c r="A173" s="1"/>
      <c r="B173" s="44"/>
      <c r="C173" s="45"/>
      <c r="D173" s="4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5.5" customHeight="1">
      <c r="A174" s="1"/>
      <c r="B174" s="41"/>
      <c r="C174" s="42"/>
      <c r="D174" s="4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5.5" customHeight="1">
      <c r="A175" s="1"/>
      <c r="B175" s="44"/>
      <c r="C175" s="45"/>
      <c r="D175" s="4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5.5" customHeight="1">
      <c r="A176" s="1"/>
      <c r="B176" s="41"/>
      <c r="C176" s="42"/>
      <c r="D176" s="4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5.5" customHeight="1">
      <c r="A177" s="1"/>
      <c r="B177" s="44"/>
      <c r="C177" s="45"/>
      <c r="D177" s="4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5.5" customHeight="1">
      <c r="A178" s="1"/>
      <c r="B178" s="41"/>
      <c r="C178" s="42"/>
      <c r="D178" s="4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5.5" customHeight="1">
      <c r="A179" s="1"/>
      <c r="B179" s="44"/>
      <c r="C179" s="45"/>
      <c r="D179" s="4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5.5" customHeight="1">
      <c r="A180" s="1"/>
      <c r="B180" s="41"/>
      <c r="C180" s="42"/>
      <c r="D180" s="4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5.5" customHeight="1">
      <c r="A181" s="1"/>
      <c r="B181" s="44"/>
      <c r="C181" s="45"/>
      <c r="D181" s="4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5.5" customHeight="1">
      <c r="A182" s="1"/>
      <c r="B182" s="41"/>
      <c r="C182" s="42"/>
      <c r="D182" s="4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5.5" customHeight="1">
      <c r="A183" s="1"/>
      <c r="B183" s="44"/>
      <c r="C183" s="45"/>
      <c r="D183" s="4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5.5" customHeight="1">
      <c r="A184" s="1"/>
      <c r="B184" s="41"/>
      <c r="C184" s="42"/>
      <c r="D184" s="4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5.5" customHeight="1">
      <c r="A185" s="1"/>
      <c r="B185" s="44"/>
      <c r="C185" s="45"/>
      <c r="D185" s="4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5.5" customHeight="1">
      <c r="A186" s="1"/>
      <c r="B186" s="41"/>
      <c r="C186" s="42"/>
      <c r="D186" s="4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5.5" customHeight="1">
      <c r="A187" s="1"/>
      <c r="B187" s="44"/>
      <c r="C187" s="45"/>
      <c r="D187" s="4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5.5" customHeight="1">
      <c r="A188" s="1"/>
      <c r="B188" s="41"/>
      <c r="C188" s="42"/>
      <c r="D188" s="4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5.5" customHeight="1">
      <c r="A189" s="1"/>
      <c r="B189" s="44"/>
      <c r="C189" s="45"/>
      <c r="D189" s="4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5.5" customHeight="1">
      <c r="A190" s="1"/>
      <c r="B190" s="41"/>
      <c r="C190" s="42"/>
      <c r="D190" s="4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5.5" customHeight="1">
      <c r="A191" s="1"/>
      <c r="B191" s="44"/>
      <c r="C191" s="45"/>
      <c r="D191" s="4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5.5" customHeight="1">
      <c r="A192" s="1"/>
      <c r="B192" s="41"/>
      <c r="C192" s="42"/>
      <c r="D192" s="4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5.5" customHeight="1">
      <c r="A193" s="1"/>
      <c r="B193" s="44"/>
      <c r="C193" s="45"/>
      <c r="D193" s="4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5.5" customHeight="1">
      <c r="A194" s="1"/>
      <c r="B194" s="41"/>
      <c r="C194" s="42"/>
      <c r="D194" s="4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5.5" customHeight="1">
      <c r="A195" s="1"/>
      <c r="B195" s="44"/>
      <c r="C195" s="45"/>
      <c r="D195" s="4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5.5" customHeight="1">
      <c r="A196" s="1"/>
      <c r="B196" s="41"/>
      <c r="C196" s="42"/>
      <c r="D196" s="4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5.5" customHeight="1">
      <c r="A197" s="1"/>
      <c r="B197" s="44"/>
      <c r="C197" s="45"/>
      <c r="D197" s="4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5.5" customHeight="1">
      <c r="A198" s="1"/>
      <c r="B198" s="41"/>
      <c r="C198" s="42"/>
      <c r="D198" s="4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5.5" customHeight="1">
      <c r="A199" s="1"/>
      <c r="B199" s="44"/>
      <c r="C199" s="45"/>
      <c r="D199" s="4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5.5" customHeight="1">
      <c r="A200" s="1"/>
      <c r="B200" s="41"/>
      <c r="C200" s="42"/>
      <c r="D200" s="4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5.5" customHeight="1">
      <c r="A201" s="1"/>
      <c r="B201" s="44"/>
      <c r="C201" s="45"/>
      <c r="D201" s="4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5.5" customHeight="1">
      <c r="A202" s="1"/>
      <c r="B202" s="41"/>
      <c r="C202" s="42"/>
      <c r="D202" s="4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5.5" customHeight="1">
      <c r="A203" s="1"/>
      <c r="B203" s="44"/>
      <c r="C203" s="45"/>
      <c r="D203" s="4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5.5" customHeight="1">
      <c r="A204" s="1"/>
      <c r="B204" s="41"/>
      <c r="C204" s="42"/>
      <c r="D204" s="4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5.5" customHeight="1">
      <c r="A205" s="1"/>
      <c r="B205" s="44"/>
      <c r="C205" s="45"/>
      <c r="D205" s="4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5.5" customHeight="1">
      <c r="A206" s="1"/>
      <c r="B206" s="41"/>
      <c r="C206" s="42"/>
      <c r="D206" s="4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5.5" customHeight="1">
      <c r="A207" s="1"/>
      <c r="B207" s="44"/>
      <c r="C207" s="45"/>
      <c r="D207" s="4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5.5" customHeight="1">
      <c r="A209" s="1"/>
      <c r="B209" s="47" t="s">
        <v>28</v>
      </c>
      <c r="C209" s="48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D2"/>
    <mergeCell ref="C3:D3"/>
    <mergeCell ref="C4:D4"/>
    <mergeCell ref="C5:D5"/>
    <mergeCell ref="B209:D209"/>
  </mergeCells>
  <dataValidations>
    <dataValidation type="list" allowBlank="1" sqref="B8:B20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5" width="22.0"/>
    <col customWidth="1" min="6" max="6" width="2.0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1"/>
      <c r="B2" s="29" t="s">
        <v>40</v>
      </c>
      <c r="C2" s="30"/>
      <c r="D2" s="30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34" t="s">
        <v>41</v>
      </c>
      <c r="C4" s="34" t="s">
        <v>42</v>
      </c>
      <c r="D4" s="34" t="s">
        <v>43</v>
      </c>
      <c r="E4" s="34" t="s">
        <v>44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49" t="s">
        <v>45</v>
      </c>
      <c r="C5" s="50">
        <f>Jan!C3</f>
        <v>0</v>
      </c>
      <c r="D5" s="51">
        <f>Jan!C4</f>
        <v>0</v>
      </c>
      <c r="E5" s="52">
        <f>Jan!C5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53" t="s">
        <v>46</v>
      </c>
      <c r="C6" s="54">
        <f>Fev!C3</f>
        <v>0</v>
      </c>
      <c r="D6" s="55">
        <f>Fev!C4</f>
        <v>0</v>
      </c>
      <c r="E6" s="56">
        <f>Fev!C5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49" t="s">
        <v>47</v>
      </c>
      <c r="C7" s="50">
        <f>Mar!C3</f>
        <v>0</v>
      </c>
      <c r="D7" s="51">
        <f>Mar!C4</f>
        <v>0</v>
      </c>
      <c r="E7" s="52">
        <f>Mar!C5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53" t="s">
        <v>48</v>
      </c>
      <c r="C8" s="54">
        <f>Abr!C3</f>
        <v>0</v>
      </c>
      <c r="D8" s="55">
        <f>Abr!C4</f>
        <v>0</v>
      </c>
      <c r="E8" s="56">
        <f>Abr!C5</f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49" t="s">
        <v>49</v>
      </c>
      <c r="C9" s="50">
        <f>Mai!C3</f>
        <v>0</v>
      </c>
      <c r="D9" s="51">
        <f>Mai!C4</f>
        <v>0</v>
      </c>
      <c r="E9" s="52">
        <f>Mai!C5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53" t="s">
        <v>50</v>
      </c>
      <c r="C10" s="54">
        <f>Jun!C3</f>
        <v>0</v>
      </c>
      <c r="D10" s="55">
        <f>Jun!C4</f>
        <v>0</v>
      </c>
      <c r="E10" s="56">
        <f>Jun!C5</f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49" t="s">
        <v>51</v>
      </c>
      <c r="C11" s="50">
        <f>Jul!C3</f>
        <v>0</v>
      </c>
      <c r="D11" s="51">
        <f>Jul!C4</f>
        <v>0</v>
      </c>
      <c r="E11" s="52">
        <f>Jul!C5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53" t="s">
        <v>52</v>
      </c>
      <c r="C12" s="54">
        <f>Ago!C3</f>
        <v>0</v>
      </c>
      <c r="D12" s="55">
        <f>Ago!C4</f>
        <v>0</v>
      </c>
      <c r="E12" s="56">
        <f>Ago!C5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49" t="s">
        <v>53</v>
      </c>
      <c r="C13" s="50">
        <f>Set!C3</f>
        <v>0</v>
      </c>
      <c r="D13" s="51">
        <f>Set!C4</f>
        <v>0</v>
      </c>
      <c r="E13" s="52">
        <f>Set!C5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53" t="s">
        <v>54</v>
      </c>
      <c r="C14" s="54">
        <f>Out!C3</f>
        <v>0</v>
      </c>
      <c r="D14" s="55">
        <f>Out!C4</f>
        <v>0</v>
      </c>
      <c r="E14" s="56">
        <f>Out!C5</f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49" t="s">
        <v>55</v>
      </c>
      <c r="C15" s="50">
        <f>Nov!C3</f>
        <v>0</v>
      </c>
      <c r="D15" s="51">
        <f>Nov!C4</f>
        <v>0</v>
      </c>
      <c r="E15" s="52">
        <f>Nov!C5</f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53" t="s">
        <v>56</v>
      </c>
      <c r="C16" s="54">
        <f>Dez!C3</f>
        <v>0</v>
      </c>
      <c r="D16" s="55">
        <f>Dez!C4</f>
        <v>0</v>
      </c>
      <c r="E16" s="57">
        <f>Dez!C5</f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0" customHeight="1">
      <c r="A17" s="1"/>
      <c r="B17" s="58" t="s">
        <v>57</v>
      </c>
      <c r="C17" s="59">
        <f t="shared" ref="C17:E17" si="1">SUM(C5:C16)</f>
        <v>0</v>
      </c>
      <c r="D17" s="59">
        <f t="shared" si="1"/>
        <v>0</v>
      </c>
      <c r="E17" s="59">
        <f t="shared" si="1"/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60" t="s">
        <v>58</v>
      </c>
      <c r="C19" s="6"/>
      <c r="D19" s="61">
        <f>C17</f>
        <v>0</v>
      </c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60" t="s">
        <v>59</v>
      </c>
      <c r="C20" s="6"/>
      <c r="D20" s="62">
        <f>'⚙️ Config'!$C$4</f>
        <v>81000</v>
      </c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1"/>
      <c r="B21" s="63" t="s">
        <v>9</v>
      </c>
      <c r="C21" s="6"/>
      <c r="D21" s="31">
        <f>'⚙️ Config'!$C$4-C17</f>
        <v>81000</v>
      </c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1"/>
      <c r="B22" s="64" t="s">
        <v>10</v>
      </c>
      <c r="C22" s="6"/>
      <c r="D22" s="65">
        <f>C17/'⚙️ Config'!$C$4</f>
        <v>0</v>
      </c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66" t="s">
        <v>60</v>
      </c>
      <c r="C24" s="67"/>
      <c r="D24" s="67"/>
      <c r="E24" s="6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69" t="s">
        <v>61</v>
      </c>
      <c r="C25" s="68"/>
      <c r="D25" s="70" t="s">
        <v>62</v>
      </c>
      <c r="E25" s="6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1" t="s">
        <v>63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72" t="s">
        <v>64</v>
      </c>
      <c r="C27" s="68"/>
      <c r="D27" s="73">
        <f>C17</f>
        <v>0</v>
      </c>
      <c r="E27" s="6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74" t="s">
        <v>65</v>
      </c>
      <c r="C28" s="68"/>
      <c r="D28" s="75">
        <f>IF(D25="Serviços",C17*0.32,IF(D25="Transporte",C17*0.16,C17*0.08))</f>
        <v>0</v>
      </c>
      <c r="E28" s="6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72" t="s">
        <v>66</v>
      </c>
      <c r="C29" s="68"/>
      <c r="D29" s="76">
        <f>D17</f>
        <v>0</v>
      </c>
      <c r="E29" s="6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77" t="s">
        <v>67</v>
      </c>
      <c r="C30" s="68"/>
      <c r="D30" s="78">
        <f>C17-D28-D29</f>
        <v>0</v>
      </c>
      <c r="E30" s="6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1" t="s">
        <v>68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2:E2"/>
    <mergeCell ref="B19:C19"/>
    <mergeCell ref="D19:E19"/>
    <mergeCell ref="B20:C20"/>
    <mergeCell ref="D20:E20"/>
    <mergeCell ref="B21:C21"/>
    <mergeCell ref="D21:E21"/>
    <mergeCell ref="B27:C27"/>
    <mergeCell ref="B28:C28"/>
    <mergeCell ref="B29:C29"/>
    <mergeCell ref="B30:C30"/>
    <mergeCell ref="D28:E28"/>
    <mergeCell ref="D29:E29"/>
    <mergeCell ref="D30:E30"/>
    <mergeCell ref="B31:E31"/>
    <mergeCell ref="B22:C22"/>
    <mergeCell ref="D22:E22"/>
    <mergeCell ref="B24:E24"/>
    <mergeCell ref="B25:C25"/>
    <mergeCell ref="D25:E25"/>
    <mergeCell ref="B26:E26"/>
    <mergeCell ref="D27:E27"/>
  </mergeCells>
  <dataValidations>
    <dataValidation type="list" allowBlank="1" showInputMessage="1" showErrorMessage="1" prompt="Tipo de Atividade - Selecione o tipo de atividade do seu MEI" sqref="D25">
      <formula1>"Serviços,Comércio,Transporte"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3" width="22.0"/>
    <col customWidth="1" min="4" max="4" width="25.86"/>
    <col customWidth="1" min="5" max="5" width="2.0"/>
    <col customWidth="1" min="6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45.75" customHeight="1">
      <c r="A2" s="1"/>
      <c r="B2" s="79" t="s">
        <v>69</v>
      </c>
      <c r="C2" s="30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30.0" customHeight="1">
      <c r="A4" s="1"/>
      <c r="B4" s="34" t="s">
        <v>41</v>
      </c>
      <c r="C4" s="34" t="s">
        <v>70</v>
      </c>
      <c r="D4" s="34" t="s">
        <v>71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0.0" customHeight="1">
      <c r="A5" s="1"/>
      <c r="B5" s="49" t="s">
        <v>45</v>
      </c>
      <c r="C5" s="80">
        <f>Jan!C3</f>
        <v>0</v>
      </c>
      <c r="D5" s="44" t="s">
        <v>72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0.0" customHeight="1">
      <c r="A6" s="1"/>
      <c r="B6" s="53" t="s">
        <v>46</v>
      </c>
      <c r="C6" s="81">
        <f>Fev!C3</f>
        <v>0</v>
      </c>
      <c r="D6" s="41" t="s">
        <v>72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customHeight="1">
      <c r="A7" s="1"/>
      <c r="B7" s="49" t="s">
        <v>47</v>
      </c>
      <c r="C7" s="80">
        <f>Mar!C3</f>
        <v>0</v>
      </c>
      <c r="D7" s="44" t="s">
        <v>72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30.0" customHeight="1">
      <c r="A8" s="1"/>
      <c r="B8" s="53" t="s">
        <v>48</v>
      </c>
      <c r="C8" s="81">
        <f>Abr!C3</f>
        <v>0</v>
      </c>
      <c r="D8" s="41" t="s">
        <v>72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30.0" customHeight="1">
      <c r="A9" s="1"/>
      <c r="B9" s="49" t="s">
        <v>49</v>
      </c>
      <c r="C9" s="80">
        <f>Mai!C3</f>
        <v>0</v>
      </c>
      <c r="D9" s="44" t="s">
        <v>72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0.0" customHeight="1">
      <c r="A10" s="1"/>
      <c r="B10" s="53" t="s">
        <v>50</v>
      </c>
      <c r="C10" s="81">
        <f>Jun!C3</f>
        <v>0</v>
      </c>
      <c r="D10" s="41" t="s">
        <v>72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0.0" customHeight="1">
      <c r="A11" s="1"/>
      <c r="B11" s="49" t="s">
        <v>51</v>
      </c>
      <c r="C11" s="80">
        <f>Jul!C3</f>
        <v>0</v>
      </c>
      <c r="D11" s="44" t="s">
        <v>72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0.0" customHeight="1">
      <c r="A12" s="1"/>
      <c r="B12" s="53" t="s">
        <v>52</v>
      </c>
      <c r="C12" s="81">
        <f>Ago!C3</f>
        <v>0</v>
      </c>
      <c r="D12" s="41" t="s">
        <v>72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0.0" customHeight="1">
      <c r="A13" s="1"/>
      <c r="B13" s="49" t="s">
        <v>53</v>
      </c>
      <c r="C13" s="80">
        <f>Set!C3</f>
        <v>0</v>
      </c>
      <c r="D13" s="44" t="s">
        <v>72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0.0" customHeight="1">
      <c r="A14" s="1"/>
      <c r="B14" s="53" t="s">
        <v>54</v>
      </c>
      <c r="C14" s="81">
        <f>Out!C3</f>
        <v>0</v>
      </c>
      <c r="D14" s="41" t="s">
        <v>72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0.0" customHeight="1">
      <c r="A15" s="1"/>
      <c r="B15" s="49" t="s">
        <v>55</v>
      </c>
      <c r="C15" s="80">
        <f>Nov!C3</f>
        <v>0</v>
      </c>
      <c r="D15" s="44" t="s">
        <v>72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0.0" customHeight="1">
      <c r="A16" s="1"/>
      <c r="B16" s="53" t="s">
        <v>56</v>
      </c>
      <c r="C16" s="81">
        <f>Dez!C3</f>
        <v>0</v>
      </c>
      <c r="D16" s="35" t="s">
        <v>72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6.0" customHeight="1">
      <c r="A17" s="1"/>
      <c r="B17" s="82" t="s">
        <v>73</v>
      </c>
      <c r="C17" s="83">
        <f>SUM(C5:C16)</f>
        <v>0</v>
      </c>
      <c r="D17" s="8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7.75" customHeight="1">
      <c r="A19" s="1"/>
      <c r="B19" s="84" t="s">
        <v>74</v>
      </c>
      <c r="C19" s="48"/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7.75" customHeight="1">
      <c r="A21" s="1"/>
      <c r="B21" s="1"/>
      <c r="C21" s="85" t="s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2">
    <mergeCell ref="B2:D2"/>
    <mergeCell ref="B19:D19"/>
  </mergeCells>
  <dataValidations>
    <dataValidation type="list" allowBlank="1" sqref="D5:D16">
      <formula1>"Pago,Pendente,Isento"</formula1>
    </dataValidation>
  </dataValidations>
  <hyperlinks>
    <hyperlink r:id="rId1" ref="C21"/>
  </hyperlinks>
  <printOptions/>
  <pageMargins bottom="1.0" footer="0.0" header="0.0" left="0.75" right="0.75" top="1.0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3" width="22.0"/>
    <col customWidth="1" min="4" max="4" width="2.0"/>
    <col customWidth="1" min="5" max="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9.5" customHeight="1">
      <c r="A2" s="1"/>
      <c r="B2" s="79" t="s">
        <v>75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86" t="s">
        <v>76</v>
      </c>
      <c r="C4" s="87">
        <v>81000.0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22" t="s">
        <v>77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"/>
      <c r="B7" s="88" t="s">
        <v>78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89" t="s">
        <v>79</v>
      </c>
      <c r="C8" s="90" t="s">
        <v>80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91" t="s">
        <v>81</v>
      </c>
      <c r="C9" s="92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93" t="s">
        <v>83</v>
      </c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">
    <mergeCell ref="B2:C2"/>
    <mergeCell ref="B5:C5"/>
    <mergeCell ref="B7:C7"/>
    <mergeCell ref="B11:C11"/>
  </mergeCells>
  <printOptions/>
  <pageMargins bottom="1.0" footer="0.0" header="0.0" left="0.75" right="0.75" top="1.0"/>
  <pageSetup orientation="landscape"/>
  <drawing r:id="rId1"/>
</worksheet>
</file>